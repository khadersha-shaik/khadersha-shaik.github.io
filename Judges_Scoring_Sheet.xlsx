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es Scor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0E7FF"/>
      <sz val="9.5"/>
    </font>
    <font>
      <name val="Calibri"/>
      <b val="1"/>
      <sz val="10"/>
    </font>
    <font>
      <name val="Calibri"/>
      <b val="1"/>
      <color rgb="00FFFFFF"/>
      <sz val="9.5"/>
    </font>
    <font>
      <name val="Calibri"/>
      <sz val="10"/>
    </font>
    <font>
      <name val="Calibri"/>
      <b val="1"/>
      <color rgb="00065F46"/>
      <sz val="9.5"/>
    </font>
    <font>
      <name val="Calibri"/>
      <b val="1"/>
      <color rgb="001E3A8A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FAFAFA"/>
        <bgColor rgb="00FAFAFA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164" fontId="6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0" customWidth="1" min="4" max="4"/>
    <col width="9" customWidth="1" min="5" max="5"/>
    <col width="12" customWidth="1" min="6" max="6"/>
    <col width="13" customWidth="1" min="7" max="7"/>
    <col width="11" customWidth="1" min="8" max="8"/>
    <col width="13" customWidth="1" min="9" max="9"/>
    <col width="12" customWidth="1" min="10" max="10"/>
    <col width="13" customWidth="1" min="11" max="11"/>
    <col width="36" customWidth="1" min="12" max="12"/>
  </cols>
  <sheetData>
    <row r="1" ht="24" customHeight="1">
      <c r="A1" s="1" t="inlineStr">
        <is>
          <t>AI MUSIC COMPETITION — OFFICIAL JUDGES EVALUATION SHEET (TOTAL: 100 MARKS)</t>
        </is>
      </c>
    </row>
    <row r="2" ht="16" customHeight="1">
      <c r="A2" s="2" t="inlineStr">
        <is>
          <t>Framework: AI Benchmark (40 Marks, Audio-Calibrated) + Human Judges Live Defense (60 Marks: Creativity 20M, Music Composition 20M, Emotional Impact 10M, Presentation 10M)</t>
        </is>
      </c>
    </row>
    <row r="4" ht="20" customHeight="1">
      <c r="A4" s="3" t="inlineStr">
        <is>
          <t>Judge Name:</t>
        </is>
      </c>
      <c r="B4" t="inlineStr">
        <is>
          <t>________________________________</t>
        </is>
      </c>
      <c r="F4" s="3" t="inlineStr">
        <is>
          <t>Date / Session:</t>
        </is>
      </c>
      <c r="G4" t="inlineStr">
        <is>
          <t>____________________</t>
        </is>
      </c>
      <c r="J4" s="3" t="inlineStr">
        <is>
          <t>Judge Signature:</t>
        </is>
      </c>
      <c r="K4" t="inlineStr">
        <is>
          <t>____________________</t>
        </is>
      </c>
    </row>
    <row r="6">
      <c r="A6" s="4" t="inlineStr">
        <is>
          <t>#</t>
        </is>
      </c>
      <c r="B6" s="4" t="inlineStr">
        <is>
          <t>Team Name</t>
        </is>
      </c>
      <c r="C6" s="4" t="inlineStr">
        <is>
          <t>Theme</t>
        </is>
      </c>
      <c r="D6" s="5" t="inlineStr">
        <is>
          <t>PART A: AI Benchmark (40M)</t>
        </is>
      </c>
      <c r="E6" s="5" t="n"/>
      <c r="F6" s="6" t="inlineStr">
        <is>
          <t>PART B: Human Judges Live Scoring (60M)</t>
        </is>
      </c>
      <c r="G6" s="6" t="n"/>
      <c r="H6" s="6" t="n"/>
      <c r="I6" s="6" t="n"/>
      <c r="J6" s="6" t="inlineStr">
        <is>
          <t>Judge Total
(Max 60)</t>
        </is>
      </c>
      <c r="K6" s="7" t="inlineStr">
        <is>
          <t>Grand Total
(Max 100)</t>
        </is>
      </c>
      <c r="L6" s="4" t="inlineStr">
        <is>
          <t>Judges Defense Remarks &amp; Notes
(Questions / Strengths / Vulnerabilities)</t>
        </is>
      </c>
    </row>
    <row r="7">
      <c r="A7" s="4" t="n"/>
      <c r="B7" s="4" t="n"/>
      <c r="C7" s="4" t="n"/>
      <c r="D7" s="5" t="inlineStr">
        <is>
          <t>AI Mark
(/40)</t>
        </is>
      </c>
      <c r="E7" s="5" t="inlineStr">
        <is>
          <t>AI %</t>
        </is>
      </c>
      <c r="F7" s="6" t="inlineStr">
        <is>
          <t>Creativity
(Max 20)</t>
        </is>
      </c>
      <c r="G7" s="6" t="inlineStr">
        <is>
          <t>Composition
(Max 20)</t>
        </is>
      </c>
      <c r="H7" s="6" t="inlineStr">
        <is>
          <t>Emotion
(Max 10)</t>
        </is>
      </c>
      <c r="I7" s="6" t="inlineStr">
        <is>
          <t>Present./Q&amp;A
(Max 10)</t>
        </is>
      </c>
      <c r="J7" s="6" t="n"/>
      <c r="K7" s="7" t="n"/>
      <c r="L7" s="4" t="n"/>
    </row>
    <row r="8" ht="22" customHeight="1">
      <c r="A8" s="8" t="n">
        <v>1</v>
      </c>
      <c r="B8" s="9" t="inlineStr">
        <is>
          <t>ajay guptha</t>
        </is>
      </c>
      <c r="C8" s="10" t="inlineStr">
        <is>
          <t>Heroes Among us</t>
        </is>
      </c>
      <c r="D8" s="11" t="n">
        <v>35</v>
      </c>
      <c r="E8" s="12" t="inlineStr">
        <is>
          <t>87.5%</t>
        </is>
      </c>
      <c r="F8" s="13" t="inlineStr"/>
      <c r="G8" s="13" t="inlineStr"/>
      <c r="H8" s="13" t="inlineStr"/>
      <c r="I8" s="13" t="inlineStr"/>
      <c r="J8" s="14">
        <f>IF(COUNT(F8:I8)&gt;0, SUM(F8:I8), "")</f>
        <v/>
      </c>
      <c r="K8" s="15">
        <f>IF(J8&lt;&gt;"", D8+J8, D8)</f>
        <v/>
      </c>
      <c r="L8" s="10" t="inlineStr"/>
    </row>
    <row r="9" ht="22" customHeight="1">
      <c r="A9" s="16" t="n">
        <v>2</v>
      </c>
      <c r="B9" s="17" t="inlineStr">
        <is>
          <t>Sound Waves</t>
        </is>
      </c>
      <c r="C9" s="18" t="inlineStr">
        <is>
          <t>The Greatest Gift</t>
        </is>
      </c>
      <c r="D9" s="11" t="n">
        <v>30.5</v>
      </c>
      <c r="E9" s="12" t="inlineStr">
        <is>
          <t>76.2%</t>
        </is>
      </c>
      <c r="F9" s="13" t="inlineStr"/>
      <c r="G9" s="13" t="inlineStr"/>
      <c r="H9" s="13" t="inlineStr"/>
      <c r="I9" s="13" t="inlineStr"/>
      <c r="J9" s="14">
        <f>IF(COUNT(F9:I9)&gt;0, SUM(F9:I9), "")</f>
        <v/>
      </c>
      <c r="K9" s="15">
        <f>IF(J9&lt;&gt;"", D9+J9, D9)</f>
        <v/>
      </c>
      <c r="L9" s="18" t="inlineStr"/>
    </row>
    <row r="10" ht="22" customHeight="1">
      <c r="A10" s="8" t="n">
        <v>3</v>
      </c>
      <c r="B10" s="9" t="inlineStr">
        <is>
          <t>Code &amp; Chords</t>
        </is>
      </c>
      <c r="C10" s="10" t="inlineStr">
        <is>
          <t>The Greatest Gift</t>
        </is>
      </c>
      <c r="D10" s="11" t="n">
        <v>32.5</v>
      </c>
      <c r="E10" s="12" t="inlineStr">
        <is>
          <t>81.2%</t>
        </is>
      </c>
      <c r="F10" s="13" t="inlineStr"/>
      <c r="G10" s="13" t="inlineStr"/>
      <c r="H10" s="13" t="inlineStr"/>
      <c r="I10" s="13" t="inlineStr"/>
      <c r="J10" s="14">
        <f>IF(COUNT(F10:I10)&gt;0, SUM(F10:I10), "")</f>
        <v/>
      </c>
      <c r="K10" s="15">
        <f>IF(J10&lt;&gt;"", D10+J10, D10)</f>
        <v/>
      </c>
      <c r="L10" s="10" t="inlineStr"/>
    </row>
    <row r="11" ht="22" customHeight="1">
      <c r="A11" s="16" t="n">
        <v>4</v>
      </c>
      <c r="B11" s="17" t="inlineStr">
        <is>
          <t>SYNERA</t>
        </is>
      </c>
      <c r="C11" s="18" t="inlineStr">
        <is>
          <t>The Greatest Gift</t>
        </is>
      </c>
      <c r="D11" s="11" t="n">
        <v>28</v>
      </c>
      <c r="E11" s="12" t="inlineStr">
        <is>
          <t>70.0%</t>
        </is>
      </c>
      <c r="F11" s="13" t="inlineStr"/>
      <c r="G11" s="13" t="inlineStr"/>
      <c r="H11" s="13" t="inlineStr"/>
      <c r="I11" s="13" t="inlineStr"/>
      <c r="J11" s="14">
        <f>IF(COUNT(F11:I11)&gt;0, SUM(F11:I11), "")</f>
        <v/>
      </c>
      <c r="K11" s="15">
        <f>IF(J11&lt;&gt;"", D11+J11, D11)</f>
        <v/>
      </c>
      <c r="L11" s="18" t="inlineStr"/>
    </row>
    <row r="12" ht="22" customHeight="1">
      <c r="A12" s="8" t="n">
        <v>5</v>
      </c>
      <c r="B12" s="9" t="inlineStr">
        <is>
          <t>CODE &amp; CHORDS</t>
        </is>
      </c>
      <c r="C12" s="10" t="inlineStr">
        <is>
          <t>The Greatest Gift</t>
        </is>
      </c>
      <c r="D12" s="11" t="n">
        <v>31.5</v>
      </c>
      <c r="E12" s="12" t="inlineStr">
        <is>
          <t>78.8%</t>
        </is>
      </c>
      <c r="F12" s="13" t="inlineStr"/>
      <c r="G12" s="13" t="inlineStr"/>
      <c r="H12" s="13" t="inlineStr"/>
      <c r="I12" s="13" t="inlineStr"/>
      <c r="J12" s="14">
        <f>IF(COUNT(F12:I12)&gt;0, SUM(F12:I12), "")</f>
        <v/>
      </c>
      <c r="K12" s="15">
        <f>IF(J12&lt;&gt;"", D12+J12, D12)</f>
        <v/>
      </c>
      <c r="L12" s="10" t="inlineStr"/>
    </row>
    <row r="13" ht="22" customHeight="1">
      <c r="A13" s="16" t="n">
        <v>6</v>
      </c>
      <c r="B13" s="17" t="inlineStr">
        <is>
          <t>Code &amp; Chords</t>
        </is>
      </c>
      <c r="C13" s="18" t="inlineStr">
        <is>
          <t>The Greatest Gift</t>
        </is>
      </c>
      <c r="D13" s="11" t="n">
        <v>30</v>
      </c>
      <c r="E13" s="12" t="inlineStr">
        <is>
          <t>75.0%</t>
        </is>
      </c>
      <c r="F13" s="13" t="inlineStr"/>
      <c r="G13" s="13" t="inlineStr"/>
      <c r="H13" s="13" t="inlineStr"/>
      <c r="I13" s="13" t="inlineStr"/>
      <c r="J13" s="14">
        <f>IF(COUNT(F13:I13)&gt;0, SUM(F13:I13), "")</f>
        <v/>
      </c>
      <c r="K13" s="15">
        <f>IF(J13&lt;&gt;"", D13+J13, D13)</f>
        <v/>
      </c>
      <c r="L13" s="18" t="inlineStr"/>
    </row>
    <row r="14" ht="22" customHeight="1">
      <c r="A14" s="8" t="n">
        <v>7</v>
      </c>
      <c r="B14" s="9" t="inlineStr">
        <is>
          <t>404TALENTNOTFOUND</t>
        </is>
      </c>
      <c r="C14" s="10" t="inlineStr">
        <is>
          <t>The Greatest Gift</t>
        </is>
      </c>
      <c r="D14" s="11" t="n">
        <v>25</v>
      </c>
      <c r="E14" s="12" t="inlineStr">
        <is>
          <t>62.5%</t>
        </is>
      </c>
      <c r="F14" s="13" t="inlineStr"/>
      <c r="G14" s="13" t="inlineStr"/>
      <c r="H14" s="13" t="inlineStr"/>
      <c r="I14" s="13" t="inlineStr"/>
      <c r="J14" s="14">
        <f>IF(COUNT(F14:I14)&gt;0, SUM(F14:I14), "")</f>
        <v/>
      </c>
      <c r="K14" s="15">
        <f>IF(J14&lt;&gt;"", D14+J14, D14)</f>
        <v/>
      </c>
      <c r="L14" s="10" t="inlineStr"/>
    </row>
    <row r="15" ht="22" customHeight="1">
      <c r="A15" s="16" t="n">
        <v>8</v>
      </c>
      <c r="B15" s="17" t="inlineStr">
        <is>
          <t>Algorythm</t>
        </is>
      </c>
      <c r="C15" s="18" t="inlineStr">
        <is>
          <t>Engineering</t>
        </is>
      </c>
      <c r="D15" s="11" t="n">
        <v>32.5</v>
      </c>
      <c r="E15" s="12" t="inlineStr">
        <is>
          <t>81.2%</t>
        </is>
      </c>
      <c r="F15" s="13" t="inlineStr"/>
      <c r="G15" s="13" t="inlineStr"/>
      <c r="H15" s="13" t="inlineStr"/>
      <c r="I15" s="13" t="inlineStr"/>
      <c r="J15" s="14">
        <f>IF(COUNT(F15:I15)&gt;0, SUM(F15:I15), "")</f>
        <v/>
      </c>
      <c r="K15" s="15">
        <f>IF(J15&lt;&gt;"", D15+J15, D15)</f>
        <v/>
      </c>
      <c r="L15" s="18" t="inlineStr"/>
    </row>
    <row r="16" ht="22" customHeight="1">
      <c r="A16" s="8" t="n">
        <v>9</v>
      </c>
      <c r="B16" s="9" t="inlineStr">
        <is>
          <t>NEUROBEATS</t>
        </is>
      </c>
      <c r="C16" s="10" t="inlineStr">
        <is>
          <t>Engineering</t>
        </is>
      </c>
      <c r="D16" s="11" t="n">
        <v>34.5</v>
      </c>
      <c r="E16" s="12" t="inlineStr">
        <is>
          <t>86.2%</t>
        </is>
      </c>
      <c r="F16" s="13" t="inlineStr"/>
      <c r="G16" s="13" t="inlineStr"/>
      <c r="H16" s="13" t="inlineStr"/>
      <c r="I16" s="13" t="inlineStr"/>
      <c r="J16" s="14">
        <f>IF(COUNT(F16:I16)&gt;0, SUM(F16:I16), "")</f>
        <v/>
      </c>
      <c r="K16" s="15">
        <f>IF(J16&lt;&gt;"", D16+J16, D16)</f>
        <v/>
      </c>
      <c r="L16" s="10" t="inlineStr"/>
    </row>
    <row r="17" ht="22" customHeight="1">
      <c r="A17" s="16" t="n">
        <v>10</v>
      </c>
      <c r="B17" s="17" t="inlineStr">
        <is>
          <t>404 Not Found</t>
        </is>
      </c>
      <c r="C17" s="18" t="inlineStr">
        <is>
          <t>Heroes Among us</t>
        </is>
      </c>
      <c r="D17" s="11" t="n">
        <v>23.5</v>
      </c>
      <c r="E17" s="12" t="inlineStr">
        <is>
          <t>58.8%</t>
        </is>
      </c>
      <c r="F17" s="13" t="inlineStr"/>
      <c r="G17" s="13" t="inlineStr"/>
      <c r="H17" s="13" t="inlineStr"/>
      <c r="I17" s="13" t="inlineStr"/>
      <c r="J17" s="14">
        <f>IF(COUNT(F17:I17)&gt;0, SUM(F17:I17), "")</f>
        <v/>
      </c>
      <c r="K17" s="15">
        <f>IF(J17&lt;&gt;"", D17+J17, D17)</f>
        <v/>
      </c>
      <c r="L17" s="18" t="inlineStr"/>
    </row>
    <row r="18" ht="22" customHeight="1">
      <c r="A18" s="8" t="n">
        <v>11</v>
      </c>
      <c r="B18" s="9" t="inlineStr">
        <is>
          <t>TEAM JIGS</t>
        </is>
      </c>
      <c r="C18" s="10" t="inlineStr">
        <is>
          <t>The Greatest Gift</t>
        </is>
      </c>
      <c r="D18" s="11" t="n">
        <v>26.5</v>
      </c>
      <c r="E18" s="12" t="inlineStr">
        <is>
          <t>66.2%</t>
        </is>
      </c>
      <c r="F18" s="13" t="inlineStr"/>
      <c r="G18" s="13" t="inlineStr"/>
      <c r="H18" s="13" t="inlineStr"/>
      <c r="I18" s="13" t="inlineStr"/>
      <c r="J18" s="14">
        <f>IF(COUNT(F18:I18)&gt;0, SUM(F18:I18), "")</f>
        <v/>
      </c>
      <c r="K18" s="15">
        <f>IF(J18&lt;&gt;"", D18+J18, D18)</f>
        <v/>
      </c>
      <c r="L18" s="10" t="inlineStr"/>
    </row>
    <row r="19" ht="22" customHeight="1">
      <c r="A19" s="16" t="n">
        <v>12</v>
      </c>
      <c r="B19" s="17" t="inlineStr">
        <is>
          <t>MUSIC QUEENS</t>
        </is>
      </c>
      <c r="C19" s="18" t="inlineStr">
        <is>
          <t>Heroes Among us</t>
        </is>
      </c>
      <c r="D19" s="11" t="n">
        <v>29</v>
      </c>
      <c r="E19" s="12" t="inlineStr">
        <is>
          <t>72.5%</t>
        </is>
      </c>
      <c r="F19" s="13" t="inlineStr"/>
      <c r="G19" s="13" t="inlineStr"/>
      <c r="H19" s="13" t="inlineStr"/>
      <c r="I19" s="13" t="inlineStr"/>
      <c r="J19" s="14">
        <f>IF(COUNT(F19:I19)&gt;0, SUM(F19:I19), "")</f>
        <v/>
      </c>
      <c r="K19" s="15">
        <f>IF(J19&lt;&gt;"", D19+J19, D19)</f>
        <v/>
      </c>
      <c r="L19" s="18" t="inlineStr"/>
    </row>
    <row r="20" ht="22" customHeight="1">
      <c r="A20" s="8" t="n">
        <v>13</v>
      </c>
      <c r="B20" s="9" t="inlineStr">
        <is>
          <t>SOLO</t>
        </is>
      </c>
      <c r="C20" s="10" t="inlineStr">
        <is>
          <t>Engineering</t>
        </is>
      </c>
      <c r="D20" s="11" t="n">
        <v>25.5</v>
      </c>
      <c r="E20" s="12" t="inlineStr">
        <is>
          <t>63.7%</t>
        </is>
      </c>
      <c r="F20" s="13" t="inlineStr"/>
      <c r="G20" s="13" t="inlineStr"/>
      <c r="H20" s="13" t="inlineStr"/>
      <c r="I20" s="13" t="inlineStr"/>
      <c r="J20" s="14">
        <f>IF(COUNT(F20:I20)&gt;0, SUM(F20:I20), "")</f>
        <v/>
      </c>
      <c r="K20" s="15">
        <f>IF(J20&lt;&gt;"", D20+J20, D20)</f>
        <v/>
      </c>
      <c r="L20" s="10" t="inlineStr"/>
    </row>
    <row r="21" ht="22" customHeight="1">
      <c r="A21" s="16" t="n">
        <v>14</v>
      </c>
      <c r="B21" s="17" t="inlineStr">
        <is>
          <t>Single knight</t>
        </is>
      </c>
      <c r="C21" s="18" t="inlineStr">
        <is>
          <t>Engineering</t>
        </is>
      </c>
      <c r="D21" s="11" t="n">
        <v>25</v>
      </c>
      <c r="E21" s="12" t="inlineStr">
        <is>
          <t>62.5%</t>
        </is>
      </c>
      <c r="F21" s="13" t="inlineStr"/>
      <c r="G21" s="13" t="inlineStr"/>
      <c r="H21" s="13" t="inlineStr"/>
      <c r="I21" s="13" t="inlineStr"/>
      <c r="J21" s="14">
        <f>IF(COUNT(F21:I21)&gt;0, SUM(F21:I21), "")</f>
        <v/>
      </c>
      <c r="K21" s="15">
        <f>IF(J21&lt;&gt;"", D21+J21, D21)</f>
        <v/>
      </c>
      <c r="L21" s="18" t="inlineStr"/>
    </row>
    <row r="22" ht="22" customHeight="1">
      <c r="A22" s="8" t="n">
        <v>15</v>
      </c>
      <c r="B22" s="9" t="inlineStr">
        <is>
          <t>Kanyarasi</t>
        </is>
      </c>
      <c r="C22" s="10" t="inlineStr">
        <is>
          <t>The Greatest Gift</t>
        </is>
      </c>
      <c r="D22" s="11" t="n">
        <v>24.5</v>
      </c>
      <c r="E22" s="12" t="inlineStr">
        <is>
          <t>61.3%</t>
        </is>
      </c>
      <c r="F22" s="13" t="inlineStr"/>
      <c r="G22" s="13" t="inlineStr"/>
      <c r="H22" s="13" t="inlineStr"/>
      <c r="I22" s="13" t="inlineStr"/>
      <c r="J22" s="14">
        <f>IF(COUNT(F22:I22)&gt;0, SUM(F22:I22), "")</f>
        <v/>
      </c>
      <c r="K22" s="15">
        <f>IF(J22&lt;&gt;"", D22+J22, D22)</f>
        <v/>
      </c>
      <c r="L22" s="10" t="inlineStr"/>
    </row>
    <row r="23" ht="22" customHeight="1">
      <c r="A23" s="16" t="n">
        <v>16</v>
      </c>
      <c r="B23" s="17" t="inlineStr">
        <is>
          <t>Sonic Innovators</t>
        </is>
      </c>
      <c r="C23" s="18" t="inlineStr">
        <is>
          <t>Heroes Among us</t>
        </is>
      </c>
      <c r="D23" s="11" t="n">
        <v>25.5</v>
      </c>
      <c r="E23" s="12" t="inlineStr">
        <is>
          <t>63.7%</t>
        </is>
      </c>
      <c r="F23" s="13" t="inlineStr"/>
      <c r="G23" s="13" t="inlineStr"/>
      <c r="H23" s="13" t="inlineStr"/>
      <c r="I23" s="13" t="inlineStr"/>
      <c r="J23" s="14">
        <f>IF(COUNT(F23:I23)&gt;0, SUM(F23:I23), "")</f>
        <v/>
      </c>
      <c r="K23" s="15">
        <f>IF(J23&lt;&gt;"", D23+J23, D23)</f>
        <v/>
      </c>
      <c r="L23" s="18" t="inlineStr"/>
    </row>
    <row r="24" ht="22" customHeight="1">
      <c r="A24" s="8" t="n">
        <v>17</v>
      </c>
      <c r="B24" s="9" t="inlineStr">
        <is>
          <t>TEAM EYES</t>
        </is>
      </c>
      <c r="C24" s="10" t="inlineStr">
        <is>
          <t>The Greatest Gift</t>
        </is>
      </c>
      <c r="D24" s="11" t="n">
        <v>33</v>
      </c>
      <c r="E24" s="12" t="inlineStr">
        <is>
          <t>82.5%</t>
        </is>
      </c>
      <c r="F24" s="13" t="inlineStr"/>
      <c r="G24" s="13" t="inlineStr"/>
      <c r="H24" s="13" t="inlineStr"/>
      <c r="I24" s="13" t="inlineStr"/>
      <c r="J24" s="14">
        <f>IF(COUNT(F24:I24)&gt;0, SUM(F24:I24), "")</f>
        <v/>
      </c>
      <c r="K24" s="15">
        <f>IF(J24&lt;&gt;"", D24+J24, D24)</f>
        <v/>
      </c>
      <c r="L24" s="10" t="inlineStr"/>
    </row>
    <row r="25" ht="22" customHeight="1">
      <c r="A25" s="16" t="n">
        <v>18</v>
      </c>
      <c r="B25" s="17" t="inlineStr">
        <is>
          <t>Musical Chairs</t>
        </is>
      </c>
      <c r="C25" s="18" t="inlineStr">
        <is>
          <t>Heroes Among us</t>
        </is>
      </c>
      <c r="D25" s="11" t="n">
        <v>29.5</v>
      </c>
      <c r="E25" s="12" t="inlineStr">
        <is>
          <t>73.8%</t>
        </is>
      </c>
      <c r="F25" s="13" t="inlineStr"/>
      <c r="G25" s="13" t="inlineStr"/>
      <c r="H25" s="13" t="inlineStr"/>
      <c r="I25" s="13" t="inlineStr"/>
      <c r="J25" s="14">
        <f>IF(COUNT(F25:I25)&gt;0, SUM(F25:I25), "")</f>
        <v/>
      </c>
      <c r="K25" s="15">
        <f>IF(J25&lt;&gt;"", D25+J25, D25)</f>
        <v/>
      </c>
      <c r="L25" s="18" t="inlineStr"/>
    </row>
    <row r="26" ht="22" customHeight="1">
      <c r="A26" s="8" t="n">
        <v>19</v>
      </c>
      <c r="B26" s="9" t="inlineStr">
        <is>
          <t>RAAGA</t>
        </is>
      </c>
      <c r="C26" s="10" t="inlineStr">
        <is>
          <t>Engineering</t>
        </is>
      </c>
      <c r="D26" s="11" t="n">
        <v>33</v>
      </c>
      <c r="E26" s="12" t="inlineStr">
        <is>
          <t>82.5%</t>
        </is>
      </c>
      <c r="F26" s="13" t="inlineStr"/>
      <c r="G26" s="13" t="inlineStr"/>
      <c r="H26" s="13" t="inlineStr"/>
      <c r="I26" s="13" t="inlineStr"/>
      <c r="J26" s="14">
        <f>IF(COUNT(F26:I26)&gt;0, SUM(F26:I26), "")</f>
        <v/>
      </c>
      <c r="K26" s="15">
        <f>IF(J26&lt;&gt;"", D26+J26, D26)</f>
        <v/>
      </c>
      <c r="L26" s="10" t="inlineStr"/>
    </row>
    <row r="27" ht="22" customHeight="1">
      <c r="A27" s="16" t="n">
        <v>20</v>
      </c>
      <c r="B27" s="17" t="inlineStr">
        <is>
          <t>LONGCLAW</t>
        </is>
      </c>
      <c r="C27" s="18" t="inlineStr">
        <is>
          <t>The Greatest Gift</t>
        </is>
      </c>
      <c r="D27" s="11" t="n">
        <v>31</v>
      </c>
      <c r="E27" s="12" t="inlineStr">
        <is>
          <t>77.5%</t>
        </is>
      </c>
      <c r="F27" s="13" t="inlineStr"/>
      <c r="G27" s="13" t="inlineStr"/>
      <c r="H27" s="13" t="inlineStr"/>
      <c r="I27" s="13" t="inlineStr"/>
      <c r="J27" s="14">
        <f>IF(COUNT(F27:I27)&gt;0, SUM(F27:I27), "")</f>
        <v/>
      </c>
      <c r="K27" s="15">
        <f>IF(J27&lt;&gt;"", D27+J27, D27)</f>
        <v/>
      </c>
      <c r="L27" s="18" t="inlineStr"/>
    </row>
    <row r="28" ht="22" customHeight="1">
      <c r="A28" s="8" t="n">
        <v>21</v>
      </c>
      <c r="B28" s="9" t="inlineStr">
        <is>
          <t>Quantum Minds</t>
        </is>
      </c>
      <c r="C28" s="10" t="inlineStr">
        <is>
          <t>Engineering</t>
        </is>
      </c>
      <c r="D28" s="11" t="n">
        <v>27</v>
      </c>
      <c r="E28" s="12" t="inlineStr">
        <is>
          <t>67.5%</t>
        </is>
      </c>
      <c r="F28" s="13" t="inlineStr"/>
      <c r="G28" s="13" t="inlineStr"/>
      <c r="H28" s="13" t="inlineStr"/>
      <c r="I28" s="13" t="inlineStr"/>
      <c r="J28" s="14">
        <f>IF(COUNT(F28:I28)&gt;0, SUM(F28:I28), "")</f>
        <v/>
      </c>
      <c r="K28" s="15">
        <f>IF(J28&lt;&gt;"", D28+J28, D28)</f>
        <v/>
      </c>
      <c r="L28" s="10" t="inlineStr"/>
    </row>
    <row r="29" ht="22" customHeight="1">
      <c r="A29" s="16" t="n">
        <v>22</v>
      </c>
      <c r="B29" s="17" t="inlineStr">
        <is>
          <t>GUITAR AI</t>
        </is>
      </c>
      <c r="C29" s="18" t="inlineStr">
        <is>
          <t>Engineering</t>
        </is>
      </c>
      <c r="D29" s="11" t="n">
        <v>19</v>
      </c>
      <c r="E29" s="12" t="inlineStr">
        <is>
          <t>47.5%</t>
        </is>
      </c>
      <c r="F29" s="13" t="inlineStr"/>
      <c r="G29" s="13" t="inlineStr"/>
      <c r="H29" s="13" t="inlineStr"/>
      <c r="I29" s="13" t="inlineStr"/>
      <c r="J29" s="14">
        <f>IF(COUNT(F29:I29)&gt;0, SUM(F29:I29), "")</f>
        <v/>
      </c>
      <c r="K29" s="15">
        <f>IF(J29&lt;&gt;"", D29+J29, D29)</f>
        <v/>
      </c>
      <c r="L29" s="18" t="inlineStr"/>
    </row>
    <row r="30" ht="22" customHeight="1">
      <c r="A30" s="8" t="n">
        <v>23</v>
      </c>
      <c r="B30" s="9" t="inlineStr">
        <is>
          <t>Code slayers</t>
        </is>
      </c>
      <c r="C30" s="10" t="inlineStr">
        <is>
          <t>The Greatest Gift</t>
        </is>
      </c>
      <c r="D30" s="11" t="n">
        <v>30.5</v>
      </c>
      <c r="E30" s="12" t="inlineStr">
        <is>
          <t>76.2%</t>
        </is>
      </c>
      <c r="F30" s="13" t="inlineStr"/>
      <c r="G30" s="13" t="inlineStr"/>
      <c r="H30" s="13" t="inlineStr"/>
      <c r="I30" s="13" t="inlineStr"/>
      <c r="J30" s="14">
        <f>IF(COUNT(F30:I30)&gt;0, SUM(F30:I30), "")</f>
        <v/>
      </c>
      <c r="K30" s="15">
        <f>IF(J30&lt;&gt;"", D30+J30, D30)</f>
        <v/>
      </c>
      <c r="L30" s="10" t="inlineStr"/>
    </row>
    <row r="31" ht="22" customHeight="1">
      <c r="A31" s="16" t="n">
        <v>24</v>
      </c>
      <c r="B31" s="17" t="inlineStr">
        <is>
          <t>Cadence</t>
        </is>
      </c>
      <c r="C31" s="18" t="inlineStr">
        <is>
          <t>The Greatest Gift</t>
        </is>
      </c>
      <c r="D31" s="11" t="n">
        <v>29.5</v>
      </c>
      <c r="E31" s="12" t="inlineStr">
        <is>
          <t>73.8%</t>
        </is>
      </c>
      <c r="F31" s="13" t="inlineStr"/>
      <c r="G31" s="13" t="inlineStr"/>
      <c r="H31" s="13" t="inlineStr"/>
      <c r="I31" s="13" t="inlineStr"/>
      <c r="J31" s="14">
        <f>IF(COUNT(F31:I31)&gt;0, SUM(F31:I31), "")</f>
        <v/>
      </c>
      <c r="K31" s="15">
        <f>IF(J31&lt;&gt;"", D31+J31, D31)</f>
        <v/>
      </c>
      <c r="L31" s="18" t="inlineStr"/>
    </row>
    <row r="32" ht="22" customHeight="1">
      <c r="A32" s="8" t="n">
        <v>25</v>
      </c>
      <c r="B32" s="9" t="inlineStr">
        <is>
          <t>AI MELODY</t>
        </is>
      </c>
      <c r="C32" s="10" t="inlineStr">
        <is>
          <t>Heroes Among us</t>
        </is>
      </c>
      <c r="D32" s="11" t="n">
        <v>35</v>
      </c>
      <c r="E32" s="12" t="inlineStr">
        <is>
          <t>87.5%</t>
        </is>
      </c>
      <c r="F32" s="13" t="inlineStr"/>
      <c r="G32" s="13" t="inlineStr"/>
      <c r="H32" s="13" t="inlineStr"/>
      <c r="I32" s="13" t="inlineStr"/>
      <c r="J32" s="14">
        <f>IF(COUNT(F32:I32)&gt;0, SUM(F32:I32), "")</f>
        <v/>
      </c>
      <c r="K32" s="15">
        <f>IF(J32&lt;&gt;"", D32+J32, D32)</f>
        <v/>
      </c>
      <c r="L32" s="10" t="inlineStr"/>
    </row>
    <row r="33" ht="22" customHeight="1">
      <c r="A33" s="16" t="n">
        <v>26</v>
      </c>
      <c r="B33" s="17" t="inlineStr">
        <is>
          <t>Melody Minds</t>
        </is>
      </c>
      <c r="C33" s="18" t="inlineStr">
        <is>
          <t>Engineering</t>
        </is>
      </c>
      <c r="D33" s="11" t="n">
        <v>16</v>
      </c>
      <c r="E33" s="12" t="inlineStr">
        <is>
          <t>40.0%</t>
        </is>
      </c>
      <c r="F33" s="13" t="inlineStr"/>
      <c r="G33" s="13" t="inlineStr"/>
      <c r="H33" s="13" t="inlineStr"/>
      <c r="I33" s="13" t="inlineStr"/>
      <c r="J33" s="14">
        <f>IF(COUNT(F33:I33)&gt;0, SUM(F33:I33), "")</f>
        <v/>
      </c>
      <c r="K33" s="15">
        <f>IF(J33&lt;&gt;"", D33+J33, D33)</f>
        <v/>
      </c>
      <c r="L33" s="18" t="inlineStr"/>
    </row>
    <row r="34" ht="22" customHeight="1">
      <c r="A34" s="8" t="n">
        <v>27</v>
      </c>
      <c r="B34" s="9" t="inlineStr">
        <is>
          <t>Epic beats</t>
        </is>
      </c>
      <c r="C34" s="10" t="inlineStr">
        <is>
          <t>Engineering</t>
        </is>
      </c>
      <c r="D34" s="11" t="n">
        <v>21.5</v>
      </c>
      <c r="E34" s="12" t="inlineStr">
        <is>
          <t>53.8%</t>
        </is>
      </c>
      <c r="F34" s="13" t="inlineStr"/>
      <c r="G34" s="13" t="inlineStr"/>
      <c r="H34" s="13" t="inlineStr"/>
      <c r="I34" s="13" t="inlineStr"/>
      <c r="J34" s="14">
        <f>IF(COUNT(F34:I34)&gt;0, SUM(F34:I34), "")</f>
        <v/>
      </c>
      <c r="K34" s="15">
        <f>IF(J34&lt;&gt;"", D34+J34, D34)</f>
        <v/>
      </c>
      <c r="L34" s="10" t="inlineStr"/>
    </row>
    <row r="35" ht="22" customHeight="1">
      <c r="A35" s="16" t="n">
        <v>28</v>
      </c>
      <c r="B35" s="17" t="inlineStr">
        <is>
          <t>AInovators</t>
        </is>
      </c>
      <c r="C35" s="18" t="inlineStr">
        <is>
          <t>Heroes Among us</t>
        </is>
      </c>
      <c r="D35" s="11" t="n">
        <v>25.5</v>
      </c>
      <c r="E35" s="12" t="inlineStr">
        <is>
          <t>63.7%</t>
        </is>
      </c>
      <c r="F35" s="13" t="inlineStr"/>
      <c r="G35" s="13" t="inlineStr"/>
      <c r="H35" s="13" t="inlineStr"/>
      <c r="I35" s="13" t="inlineStr"/>
      <c r="J35" s="14">
        <f>IF(COUNT(F35:I35)&gt;0, SUM(F35:I35), "")</f>
        <v/>
      </c>
      <c r="K35" s="15">
        <f>IF(J35&lt;&gt;"", D35+J35, D35)</f>
        <v/>
      </c>
      <c r="L35" s="18" t="inlineStr"/>
    </row>
    <row r="36" ht="22" customHeight="1">
      <c r="A36" s="8" t="n">
        <v>29</v>
      </c>
      <c r="B36" s="9" t="inlineStr">
        <is>
          <t>Melody makers</t>
        </is>
      </c>
      <c r="C36" s="10" t="inlineStr">
        <is>
          <t>Heroes Among us</t>
        </is>
      </c>
      <c r="D36" s="11" t="n">
        <v>26</v>
      </c>
      <c r="E36" s="12" t="inlineStr">
        <is>
          <t>65.0%</t>
        </is>
      </c>
      <c r="F36" s="13" t="inlineStr"/>
      <c r="G36" s="13" t="inlineStr"/>
      <c r="H36" s="13" t="inlineStr"/>
      <c r="I36" s="13" t="inlineStr"/>
      <c r="J36" s="14">
        <f>IF(COUNT(F36:I36)&gt;0, SUM(F36:I36), "")</f>
        <v/>
      </c>
      <c r="K36" s="15">
        <f>IF(J36&lt;&gt;"", D36+J36, D36)</f>
        <v/>
      </c>
      <c r="L36" s="10" t="inlineStr"/>
    </row>
    <row r="37" ht="22" customHeight="1">
      <c r="A37" s="16" t="n">
        <v>30</v>
      </c>
      <c r="B37" s="17" t="inlineStr">
        <is>
          <t>Melody Lemon</t>
        </is>
      </c>
      <c r="C37" s="18" t="inlineStr">
        <is>
          <t>Heroes Among us</t>
        </is>
      </c>
      <c r="D37" s="11" t="n">
        <v>34.5</v>
      </c>
      <c r="E37" s="12" t="inlineStr">
        <is>
          <t>86.2%</t>
        </is>
      </c>
      <c r="F37" s="13" t="inlineStr"/>
      <c r="G37" s="13" t="inlineStr"/>
      <c r="H37" s="13" t="inlineStr"/>
      <c r="I37" s="13" t="inlineStr"/>
      <c r="J37" s="14">
        <f>IF(COUNT(F37:I37)&gt;0, SUM(F37:I37), "")</f>
        <v/>
      </c>
      <c r="K37" s="15">
        <f>IF(J37&lt;&gt;"", D37+J37, D37)</f>
        <v/>
      </c>
      <c r="L37" s="18" t="inlineStr"/>
    </row>
    <row r="38" ht="22" customHeight="1">
      <c r="A38" s="8" t="n">
        <v>31</v>
      </c>
      <c r="B38" s="9" t="inlineStr">
        <is>
          <t>The Boyzz</t>
        </is>
      </c>
      <c r="C38" s="10" t="inlineStr">
        <is>
          <t>Engineering</t>
        </is>
      </c>
      <c r="D38" s="11" t="n">
        <v>19.5</v>
      </c>
      <c r="E38" s="12" t="inlineStr">
        <is>
          <t>48.8%</t>
        </is>
      </c>
      <c r="F38" s="13" t="inlineStr"/>
      <c r="G38" s="13" t="inlineStr"/>
      <c r="H38" s="13" t="inlineStr"/>
      <c r="I38" s="13" t="inlineStr"/>
      <c r="J38" s="14">
        <f>IF(COUNT(F38:I38)&gt;0, SUM(F38:I38), "")</f>
        <v/>
      </c>
      <c r="K38" s="15">
        <f>IF(J38&lt;&gt;"", D38+J38, D38)</f>
        <v/>
      </c>
      <c r="L38" s="10" t="inlineStr"/>
    </row>
    <row r="39" ht="22" customHeight="1">
      <c r="A39" s="16" t="n">
        <v>32</v>
      </c>
      <c r="B39" s="17" t="inlineStr">
        <is>
          <t>Muse Ai</t>
        </is>
      </c>
      <c r="C39" s="18" t="inlineStr">
        <is>
          <t>The Greatest Gift</t>
        </is>
      </c>
      <c r="D39" s="11" t="n">
        <v>36.5</v>
      </c>
      <c r="E39" s="12" t="inlineStr">
        <is>
          <t>91.2%</t>
        </is>
      </c>
      <c r="F39" s="13" t="inlineStr"/>
      <c r="G39" s="13" t="inlineStr"/>
      <c r="H39" s="13" t="inlineStr"/>
      <c r="I39" s="13" t="inlineStr"/>
      <c r="J39" s="14">
        <f>IF(COUNT(F39:I39)&gt;0, SUM(F39:I39), "")</f>
        <v/>
      </c>
      <c r="K39" s="15">
        <f>IF(J39&lt;&gt;"", D39+J39, D39)</f>
        <v/>
      </c>
      <c r="L39" s="18" t="inlineStr"/>
    </row>
    <row r="40" ht="22" customHeight="1">
      <c r="A40" s="8" t="n">
        <v>33</v>
      </c>
      <c r="B40" s="9" t="inlineStr">
        <is>
          <t>Musical stars</t>
        </is>
      </c>
      <c r="C40" s="10" t="inlineStr">
        <is>
          <t>The Greatest Gift</t>
        </is>
      </c>
      <c r="D40" s="11" t="n">
        <v>15</v>
      </c>
      <c r="E40" s="12" t="inlineStr">
        <is>
          <t>37.5%</t>
        </is>
      </c>
      <c r="F40" s="13" t="inlineStr"/>
      <c r="G40" s="13" t="inlineStr"/>
      <c r="H40" s="13" t="inlineStr"/>
      <c r="I40" s="13" t="inlineStr"/>
      <c r="J40" s="14">
        <f>IF(COUNT(F40:I40)&gt;0, SUM(F40:I40), "")</f>
        <v/>
      </c>
      <c r="K40" s="15">
        <f>IF(J40&lt;&gt;"", D40+J40, D40)</f>
        <v/>
      </c>
      <c r="L40" s="10" t="inlineStr"/>
    </row>
    <row r="41" ht="22" customHeight="1">
      <c r="A41" s="16" t="n">
        <v>34</v>
      </c>
      <c r="B41" s="17" t="inlineStr">
        <is>
          <t>Utimatrix</t>
        </is>
      </c>
      <c r="C41" s="18" t="inlineStr">
        <is>
          <t>Engineering</t>
        </is>
      </c>
      <c r="D41" s="11" t="n">
        <v>37.5</v>
      </c>
      <c r="E41" s="12" t="inlineStr">
        <is>
          <t>93.8%</t>
        </is>
      </c>
      <c r="F41" s="13" t="inlineStr"/>
      <c r="G41" s="13" t="inlineStr"/>
      <c r="H41" s="13" t="inlineStr"/>
      <c r="I41" s="13" t="inlineStr"/>
      <c r="J41" s="14">
        <f>IF(COUNT(F41:I41)&gt;0, SUM(F41:I41), "")</f>
        <v/>
      </c>
      <c r="K41" s="15">
        <f>IF(J41&lt;&gt;"", D41+J41, D41)</f>
        <v/>
      </c>
      <c r="L41" s="18" t="inlineStr"/>
    </row>
    <row r="42" ht="22" customHeight="1">
      <c r="A42" s="8" t="n">
        <v>35</v>
      </c>
      <c r="B42" s="9" t="inlineStr">
        <is>
          <t>CYBER KNIGHTS</t>
        </is>
      </c>
      <c r="C42" s="10" t="inlineStr">
        <is>
          <t>Engineering</t>
        </is>
      </c>
      <c r="D42" s="11" t="n">
        <v>32.5</v>
      </c>
      <c r="E42" s="12" t="inlineStr">
        <is>
          <t>81.2%</t>
        </is>
      </c>
      <c r="F42" s="13" t="inlineStr"/>
      <c r="G42" s="13" t="inlineStr"/>
      <c r="H42" s="13" t="inlineStr"/>
      <c r="I42" s="13" t="inlineStr"/>
      <c r="J42" s="14">
        <f>IF(COUNT(F42:I42)&gt;0, SUM(F42:I42), "")</f>
        <v/>
      </c>
      <c r="K42" s="15">
        <f>IF(J42&lt;&gt;"", D42+J42, D42)</f>
        <v/>
      </c>
      <c r="L42" s="10" t="inlineStr"/>
    </row>
    <row r="43" ht="22" customHeight="1">
      <c r="A43" s="16" t="n">
        <v>36</v>
      </c>
      <c r="B43" s="17" t="inlineStr">
        <is>
          <t>SoulSync</t>
        </is>
      </c>
      <c r="C43" s="18" t="inlineStr">
        <is>
          <t>The Greatest Gift</t>
        </is>
      </c>
      <c r="D43" s="11" t="n">
        <v>21</v>
      </c>
      <c r="E43" s="12" t="inlineStr">
        <is>
          <t>52.5%</t>
        </is>
      </c>
      <c r="F43" s="13" t="inlineStr"/>
      <c r="G43" s="13" t="inlineStr"/>
      <c r="H43" s="13" t="inlineStr"/>
      <c r="I43" s="13" t="inlineStr"/>
      <c r="J43" s="14">
        <f>IF(COUNT(F43:I43)&gt;0, SUM(F43:I43), "")</f>
        <v/>
      </c>
      <c r="K43" s="15">
        <f>IF(J43&lt;&gt;"", D43+J43, D43)</f>
        <v/>
      </c>
      <c r="L43" s="18" t="inlineStr"/>
    </row>
    <row r="44" ht="22" customHeight="1">
      <c r="A44" s="8" t="n">
        <v>37</v>
      </c>
      <c r="B44" s="9" t="inlineStr">
        <is>
          <t>Trinetras</t>
        </is>
      </c>
      <c r="C44" s="10" t="inlineStr">
        <is>
          <t>The Greatest Gift</t>
        </is>
      </c>
      <c r="D44" s="11" t="n">
        <v>33.5</v>
      </c>
      <c r="E44" s="12" t="inlineStr">
        <is>
          <t>83.8%</t>
        </is>
      </c>
      <c r="F44" s="13" t="inlineStr"/>
      <c r="G44" s="13" t="inlineStr"/>
      <c r="H44" s="13" t="inlineStr"/>
      <c r="I44" s="13" t="inlineStr"/>
      <c r="J44" s="14">
        <f>IF(COUNT(F44:I44)&gt;0, SUM(F44:I44), "")</f>
        <v/>
      </c>
      <c r="K44" s="15">
        <f>IF(J44&lt;&gt;"", D44+J44, D44)</f>
        <v/>
      </c>
      <c r="L44" s="10" t="inlineStr"/>
    </row>
    <row r="45" ht="22" customHeight="1">
      <c r="A45" s="16" t="n">
        <v>38</v>
      </c>
      <c r="B45" s="17" t="inlineStr">
        <is>
          <t>VisionX</t>
        </is>
      </c>
      <c r="C45" s="18" t="inlineStr">
        <is>
          <t>Heroes Among us</t>
        </is>
      </c>
      <c r="D45" s="11" t="n">
        <v>38</v>
      </c>
      <c r="E45" s="12" t="inlineStr">
        <is>
          <t>95.0%</t>
        </is>
      </c>
      <c r="F45" s="13" t="inlineStr"/>
      <c r="G45" s="13" t="inlineStr"/>
      <c r="H45" s="13" t="inlineStr"/>
      <c r="I45" s="13" t="inlineStr"/>
      <c r="J45" s="14">
        <f>IF(COUNT(F45:I45)&gt;0, SUM(F45:I45), "")</f>
        <v/>
      </c>
      <c r="K45" s="15">
        <f>IF(J45&lt;&gt;"", D45+J45, D45)</f>
        <v/>
      </c>
      <c r="L45" s="18" t="inlineStr"/>
    </row>
    <row r="46" ht="22" customHeight="1">
      <c r="A46" s="8" t="n">
        <v>39</v>
      </c>
      <c r="B46" s="9" t="inlineStr">
        <is>
          <t>THE DIGITAL MAESTROS</t>
        </is>
      </c>
      <c r="C46" s="10" t="inlineStr">
        <is>
          <t>Heroes Among us</t>
        </is>
      </c>
      <c r="D46" s="11" t="n">
        <v>34</v>
      </c>
      <c r="E46" s="12" t="inlineStr">
        <is>
          <t>85.0%</t>
        </is>
      </c>
      <c r="F46" s="13" t="inlineStr"/>
      <c r="G46" s="13" t="inlineStr"/>
      <c r="H46" s="13" t="inlineStr"/>
      <c r="I46" s="13" t="inlineStr"/>
      <c r="J46" s="14">
        <f>IF(COUNT(F46:I46)&gt;0, SUM(F46:I46), "")</f>
        <v/>
      </c>
      <c r="K46" s="15">
        <f>IF(J46&lt;&gt;"", D46+J46, D46)</f>
        <v/>
      </c>
      <c r="L46" s="10" t="inlineStr"/>
    </row>
    <row r="47" ht="22" customHeight="1">
      <c r="A47" s="16" t="n">
        <v>40</v>
      </c>
      <c r="B47" s="17" t="inlineStr">
        <is>
          <t>THE SOUNDERS</t>
        </is>
      </c>
      <c r="C47" s="18" t="inlineStr">
        <is>
          <t>The Greatest Gift</t>
        </is>
      </c>
      <c r="D47" s="11" t="n">
        <v>33</v>
      </c>
      <c r="E47" s="12" t="inlineStr">
        <is>
          <t>82.5%</t>
        </is>
      </c>
      <c r="F47" s="13" t="inlineStr"/>
      <c r="G47" s="13" t="inlineStr"/>
      <c r="H47" s="13" t="inlineStr"/>
      <c r="I47" s="13" t="inlineStr"/>
      <c r="J47" s="14">
        <f>IF(COUNT(F47:I47)&gt;0, SUM(F47:I47), "")</f>
        <v/>
      </c>
      <c r="K47" s="15">
        <f>IF(J47&lt;&gt;"", D47+J47, D47)</f>
        <v/>
      </c>
      <c r="L47" s="18" t="inlineStr"/>
    </row>
    <row r="48" ht="22" customHeight="1">
      <c r="A48" s="8" t="n">
        <v>41</v>
      </c>
      <c r="B48" s="9" t="inlineStr">
        <is>
          <t>Mikrokosmos</t>
        </is>
      </c>
      <c r="C48" s="10" t="inlineStr">
        <is>
          <t>The Greatest Gift</t>
        </is>
      </c>
      <c r="D48" s="11" t="n">
        <v>37</v>
      </c>
      <c r="E48" s="12" t="inlineStr">
        <is>
          <t>92.5%</t>
        </is>
      </c>
      <c r="F48" s="13" t="inlineStr"/>
      <c r="G48" s="13" t="inlineStr"/>
      <c r="H48" s="13" t="inlineStr"/>
      <c r="I48" s="13" t="inlineStr"/>
      <c r="J48" s="14">
        <f>IF(COUNT(F48:I48)&gt;0, SUM(F48:I48), "")</f>
        <v/>
      </c>
      <c r="K48" s="15">
        <f>IF(J48&lt;&gt;"", D48+J48, D48)</f>
        <v/>
      </c>
      <c r="L48" s="10" t="inlineStr"/>
    </row>
    <row r="49" ht="22" customHeight="1">
      <c r="A49" s="16" t="n">
        <v>42</v>
      </c>
      <c r="B49" s="17" t="inlineStr">
        <is>
          <t>Think Twice</t>
        </is>
      </c>
      <c r="C49" s="18" t="inlineStr">
        <is>
          <t>Engineering</t>
        </is>
      </c>
      <c r="D49" s="11" t="n">
        <v>27</v>
      </c>
      <c r="E49" s="12" t="inlineStr">
        <is>
          <t>67.5%</t>
        </is>
      </c>
      <c r="F49" s="13" t="inlineStr"/>
      <c r="G49" s="13" t="inlineStr"/>
      <c r="H49" s="13" t="inlineStr"/>
      <c r="I49" s="13" t="inlineStr"/>
      <c r="J49" s="14">
        <f>IF(COUNT(F49:I49)&gt;0, SUM(F49:I49), "")</f>
        <v/>
      </c>
      <c r="K49" s="15">
        <f>IF(J49&lt;&gt;"", D49+J49, D49)</f>
        <v/>
      </c>
      <c r="L49" s="18" t="inlineStr"/>
    </row>
    <row r="50" ht="22" customHeight="1">
      <c r="A50" s="8" t="n">
        <v>43</v>
      </c>
      <c r="B50" s="9" t="inlineStr">
        <is>
          <t>Coders</t>
        </is>
      </c>
      <c r="C50" s="10" t="inlineStr">
        <is>
          <t>Heroes Among us</t>
        </is>
      </c>
      <c r="D50" s="11" t="n">
        <v>19</v>
      </c>
      <c r="E50" s="12" t="inlineStr">
        <is>
          <t>47.5%</t>
        </is>
      </c>
      <c r="F50" s="13" t="inlineStr"/>
      <c r="G50" s="13" t="inlineStr"/>
      <c r="H50" s="13" t="inlineStr"/>
      <c r="I50" s="13" t="inlineStr"/>
      <c r="J50" s="14">
        <f>IF(COUNT(F50:I50)&gt;0, SUM(F50:I50), "")</f>
        <v/>
      </c>
      <c r="K50" s="15">
        <f>IF(J50&lt;&gt;"", D50+J50, D50)</f>
        <v/>
      </c>
      <c r="L50" s="10" t="inlineStr"/>
    </row>
    <row r="51" ht="22" customHeight="1">
      <c r="A51" s="16" t="n">
        <v>44</v>
      </c>
      <c r="B51" s="17" t="inlineStr">
        <is>
          <t>Byteforce</t>
        </is>
      </c>
      <c r="C51" s="18" t="inlineStr">
        <is>
          <t>Engineering</t>
        </is>
      </c>
      <c r="D51" s="11" t="n">
        <v>19</v>
      </c>
      <c r="E51" s="12" t="inlineStr">
        <is>
          <t>47.5%</t>
        </is>
      </c>
      <c r="F51" s="13" t="inlineStr"/>
      <c r="G51" s="13" t="inlineStr"/>
      <c r="H51" s="13" t="inlineStr"/>
      <c r="I51" s="13" t="inlineStr"/>
      <c r="J51" s="14">
        <f>IF(COUNT(F51:I51)&gt;0, SUM(F51:I51), "")</f>
        <v/>
      </c>
      <c r="K51" s="15">
        <f>IF(J51&lt;&gt;"", D51+J51, D51)</f>
        <v/>
      </c>
      <c r="L51" s="18" t="inlineStr"/>
    </row>
  </sheetData>
  <mergeCells count="13">
    <mergeCell ref="G4:H4"/>
    <mergeCell ref="A2:L2"/>
    <mergeCell ref="D6:E6"/>
    <mergeCell ref="A1:L1"/>
    <mergeCell ref="B4:D4"/>
    <mergeCell ref="L6:L7"/>
    <mergeCell ref="J6:J7"/>
    <mergeCell ref="K6:K7"/>
    <mergeCell ref="C6:C7"/>
    <mergeCell ref="A6:A7"/>
    <mergeCell ref="K4:L4"/>
    <mergeCell ref="B6:B7"/>
    <mergeCell ref="F6:I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2026-08-29T01:06:24Z</dcterms:created>
  <dcterms:modified xmlns:dcterms="http://purl.org/dc/terms/" xmlns:xsi="http://www.w3.org/2001/XMLSchema-instance" xsi:type="dcterms:W3CDTF">2026-08-29T01:06:25Z</dcterms:modified>
</cp:coreProperties>
</file>